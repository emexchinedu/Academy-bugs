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4"/>
    <sheet state="visible" name="Summary" sheetId="2" r:id="rId5"/>
    <sheet state="visible" name="Severity guide" sheetId="3" r:id="rId6"/>
    <sheet state="visible" name="AcademyBugs log" sheetId="4" r:id="rId7"/>
  </sheets>
  <definedNames/>
  <calcPr/>
  <extLst>
    <ext uri="GoogleSheetsCustomDataVersion2">
      <go:sheetsCustomData xmlns:go="http://customooxmlschemas.google.com/" r:id="rId8" roundtripDataChecksum="AkQQKPOWVZFTmAih/sXH6+56/LoZ+b97BUgZq6eaad4="/>
    </ext>
  </extLst>
</workbook>
</file>

<file path=xl/sharedStrings.xml><?xml version="1.0" encoding="utf-8"?>
<sst xmlns="http://schemas.openxmlformats.org/spreadsheetml/2006/main" count="251" uniqueCount="186">
  <si>
    <t>AcademyBugs log (academybugs.com)</t>
  </si>
  <si>
    <t>How bad is it? Ask in order, stop at the first yes</t>
  </si>
  <si>
    <t>Summary (fills in by itself)</t>
  </si>
  <si>
    <t>One row per check. Bug numbers are filled in for you: use the same number in your screenshot names.</t>
  </si>
  <si>
    <t>My Bug Log: AcademyBugs Assignment</t>
  </si>
  <si>
    <t>Example rows are not counted.</t>
  </si>
  <si>
    <t>Bug #</t>
  </si>
  <si>
    <t>Memory trick: Money, Mission, Mistake, Makeup</t>
  </si>
  <si>
    <t>Order</t>
  </si>
  <si>
    <t>Question</t>
  </si>
  <si>
    <t>If yes</t>
  </si>
  <si>
    <t>Memory word</t>
  </si>
  <si>
    <t>Example from a made-up food app</t>
  </si>
  <si>
    <t>Is money or private data lost, or can nobody use it at all?</t>
  </si>
  <si>
    <t>Critical</t>
  </si>
  <si>
    <t>Student: ______________________    Started: ______________    Finished: ______________</t>
  </si>
  <si>
    <t>Area</t>
  </si>
  <si>
    <t>Issue type</t>
  </si>
  <si>
    <t>The site</t>
  </si>
  <si>
    <t>AcademyBugs</t>
  </si>
  <si>
    <t>What I did (steps)</t>
  </si>
  <si>
    <t>Expected</t>
  </si>
  <si>
    <t>Actual (exact words)</t>
  </si>
  <si>
    <t>academybugs.com: a practice shop with 25 hidden bugs. The site counts each real bug you find.</t>
  </si>
  <si>
    <t>Browser and device</t>
  </si>
  <si>
    <t>Checks run</t>
  </si>
  <si>
    <t>Money</t>
  </si>
  <si>
    <t>Your goal</t>
  </si>
  <si>
    <t>How often</t>
  </si>
  <si>
    <t>Pass or Fail</t>
  </si>
  <si>
    <t>Find as many of the 25 bugs as you can, and record every check you make, problems AND passes.</t>
  </si>
  <si>
    <t>Severity</t>
  </si>
  <si>
    <t>No one can pay for an order</t>
  </si>
  <si>
    <t>Why this severity</t>
  </si>
  <si>
    <t>Where to type</t>
  </si>
  <si>
    <t>Screenshot name</t>
  </si>
  <si>
    <t>Only in the pale yellow cells. The grey example row is from a made-up food app: leave it.</t>
  </si>
  <si>
    <t>Dropdowns</t>
  </si>
  <si>
    <t>Area, Issue type, How often, Pass or Fail, Severity and 'Counted by the site?' have a little arrow. Pick from it.</t>
  </si>
  <si>
    <t>Is the user blocked from the main thing they came to do?</t>
  </si>
  <si>
    <t>High</t>
  </si>
  <si>
    <t>Confirm it first</t>
  </si>
  <si>
    <t>Mission</t>
  </si>
  <si>
    <t>Repeat every bug two or three times before you log it, and choose how often it happens.</t>
  </si>
  <si>
    <t>Search finds no restaurants</t>
  </si>
  <si>
    <t>Is something wrong, but there is a way around it?</t>
  </si>
  <si>
    <t>Write where you tested, for example 'Chrome, laptop'. This is the environment.</t>
  </si>
  <si>
    <t>Medium</t>
  </si>
  <si>
    <t>Counted by the site?</t>
  </si>
  <si>
    <t>Exact words</t>
  </si>
  <si>
    <t>Mistake</t>
  </si>
  <si>
    <t>Questions for the team</t>
  </si>
  <si>
    <t>The filter fails, but scrolling works</t>
  </si>
  <si>
    <t>Copy every error message word for word, inside quotation marks.</t>
  </si>
  <si>
    <t>Screenshots</t>
  </si>
  <si>
    <t>Is it only how it looks or how it is worded?</t>
  </si>
  <si>
    <t>Take one for every Fail. Name it with the bug number, for example bug-03-checkout-error.png, and type that name in the Screenshot column. See the Screenshot Guide PDF.</t>
  </si>
  <si>
    <t>Low</t>
  </si>
  <si>
    <t>Makeup</t>
  </si>
  <si>
    <t>A spelling mistake on a button</t>
  </si>
  <si>
    <t>Example</t>
  </si>
  <si>
    <t>Use the 'Severity guide' tab: four questions in order, stop at the first yes, and always write why.</t>
  </si>
  <si>
    <t>After you find a bug, check whether the site's counter went up. Choose Yes or No. A No can still be a real bug: log it anyway.</t>
  </si>
  <si>
    <t>Then write the level AND the reason, for example: Critical, because no customer can pay for an order.</t>
  </si>
  <si>
    <t>Not sure?</t>
  </si>
  <si>
    <t>Write it in 'Questions for the team' instead of guessing.</t>
  </si>
  <si>
    <t>Safety</t>
  </si>
  <si>
    <t>Use an Incognito window and made-up details only. Never enter real card numbers or real personal details.</t>
  </si>
  <si>
    <t>When you finish</t>
  </si>
  <si>
    <t>Save, add the file and your screenshots to GitHub, and send your tutor the link and your score out of 25.</t>
  </si>
  <si>
    <t>Issue types</t>
  </si>
  <si>
    <t>Checkout</t>
  </si>
  <si>
    <t>Functional</t>
  </si>
  <si>
    <t>1. Add one meal  2. Open basket  3. Click Checkout</t>
  </si>
  <si>
    <t>Total = meal 10 + delivery 2 = 12</t>
  </si>
  <si>
    <t>Total shows 14. "Delivery 2" appears twice.</t>
  </si>
  <si>
    <t>Chrome, laptop</t>
  </si>
  <si>
    <t>A feature does not do its job (a button does nothing, a form will not send)</t>
  </si>
  <si>
    <t>Every time</t>
  </si>
  <si>
    <t>Fail</t>
  </si>
  <si>
    <t>Visual</t>
  </si>
  <si>
    <t>Customers are overcharged, so money is lost</t>
  </si>
  <si>
    <t>Something looks wrong (layout, pictures, alignment, overlapping)</t>
  </si>
  <si>
    <t>bug-00-basket-total.png</t>
  </si>
  <si>
    <t>Content</t>
  </si>
  <si>
    <t>Yes</t>
  </si>
  <si>
    <t>Wrong words, prices, spelling or information</t>
  </si>
  <si>
    <t>Performance</t>
  </si>
  <si>
    <t>Too slow, or freezes</t>
  </si>
  <si>
    <t>bug-01</t>
  </si>
  <si>
    <t>Crash or error page</t>
  </si>
  <si>
    <t>The site shows an error page or stops working</t>
  </si>
  <si>
    <t>Usability</t>
  </si>
  <si>
    <t>It works, but it is confusing or hard to use</t>
  </si>
  <si>
    <t>Security</t>
  </si>
  <si>
    <t>Private information shown or not protected</t>
  </si>
  <si>
    <t>Cart</t>
  </si>
  <si>
    <t>Passed</t>
  </si>
  <si>
    <t xml:space="preserve">Clicked on view carts to check out </t>
  </si>
  <si>
    <t>It was expected to checkout the 5 items I selected</t>
  </si>
  <si>
    <t xml:space="preserve">I noticed no matter the item I select, it will always return to two items </t>
  </si>
  <si>
    <t>Failed (bugs)</t>
  </si>
  <si>
    <t xml:space="preserve">this is because, cutsomers mission failed. </t>
  </si>
  <si>
    <t>bug-02</t>
  </si>
  <si>
    <t>It was expected to have a total of $100</t>
  </si>
  <si>
    <t>it showed more than $100</t>
  </si>
  <si>
    <t>chrome, laptop</t>
  </si>
  <si>
    <t>bug-03</t>
  </si>
  <si>
    <t>Product page</t>
  </si>
  <si>
    <t>clicked on the manufacturer for the product Model Number: 4481370</t>
  </si>
  <si>
    <t>it was expected to take to manufacturer page</t>
  </si>
  <si>
    <t>It showed me an error 404 page</t>
  </si>
  <si>
    <t>customers cannot be able navigate to the manufacturer's page</t>
  </si>
  <si>
    <t>bug-04</t>
  </si>
  <si>
    <t>clicked on filter by price section, select any price range, clicked on it</t>
  </si>
  <si>
    <t>it was expected to show the products within the price range</t>
  </si>
  <si>
    <t>The filter button is not working, if you select a particular price range it won't display.</t>
  </si>
  <si>
    <t>customers mission failed</t>
  </si>
  <si>
    <t>bug-05</t>
  </si>
  <si>
    <t>clicked on a prodcut, clicked on twitter share button</t>
  </si>
  <si>
    <t>expected to navigate to a twitter page</t>
  </si>
  <si>
    <t>showed an error page</t>
  </si>
  <si>
    <t>Customers are not able to navigate to the Twitter page</t>
  </si>
  <si>
    <t>bug-06</t>
  </si>
  <si>
    <t>Home page</t>
  </si>
  <si>
    <t>clicked on the dark grey jeans</t>
  </si>
  <si>
    <t>expected to show the full picture product</t>
  </si>
  <si>
    <t>It showed a white space by the side of the picture</t>
  </si>
  <si>
    <t>Customers are not able to see a full picture, but there's a way around it</t>
  </si>
  <si>
    <t>bug-07</t>
  </si>
  <si>
    <t>Login or sign up</t>
  </si>
  <si>
    <t>scroll down to the sign-in button</t>
  </si>
  <si>
    <t>the sign in is expected to be in the centre of the box</t>
  </si>
  <si>
    <t>The sign in is misaligned in the box</t>
  </si>
  <si>
    <t>customers can see the sign in buttom not centered but it can enable them to sign in</t>
  </si>
  <si>
    <t>bug-08</t>
  </si>
  <si>
    <t>Open on a product, by right-clicking on the store menu and choosing all items</t>
  </si>
  <si>
    <t>no space should be underneath</t>
  </si>
  <si>
    <t>spaces found underneath the products</t>
  </si>
  <si>
    <t>Customers can see unnecessary spaces within the pictures</t>
  </si>
  <si>
    <t>AcademyBugs score (bugs the site counted)</t>
  </si>
  <si>
    <t>bug-09</t>
  </si>
  <si>
    <t>open a product, scroll down to right down side of the page, the sign-in button</t>
  </si>
  <si>
    <t>sign in button should be above</t>
  </si>
  <si>
    <t>the sign in buttom was below the sign up buttom</t>
  </si>
  <si>
    <t>customers can mistakenly click on sign up button instead the sign in</t>
  </si>
  <si>
    <t>bug-10</t>
  </si>
  <si>
    <t>out of</t>
  </si>
  <si>
    <t>open a product, scroll down to right, click on sign in button</t>
  </si>
  <si>
    <t>email address and password are expected align</t>
  </si>
  <si>
    <t>email address and password are not in the align position</t>
  </si>
  <si>
    <t>Score as a percentage</t>
  </si>
  <si>
    <t>customers may not be able to see the password not in position</t>
  </si>
  <si>
    <t>bug-11</t>
  </si>
  <si>
    <t>bug-12</t>
  </si>
  <si>
    <t>Failed bugs with no severity yet</t>
  </si>
  <si>
    <t>bug-13</t>
  </si>
  <si>
    <t>If 'no severity yet' is above 0, go back and rate every Fail.</t>
  </si>
  <si>
    <t>25 = the number of hidden bugs AcademyBugs says it contains.</t>
  </si>
  <si>
    <t>bug-14</t>
  </si>
  <si>
    <t>bug-15</t>
  </si>
  <si>
    <t>bug-16</t>
  </si>
  <si>
    <t>bug-17</t>
  </si>
  <si>
    <t>bug-18</t>
  </si>
  <si>
    <t>bug-19</t>
  </si>
  <si>
    <t>bug-20</t>
  </si>
  <si>
    <t>bug-21</t>
  </si>
  <si>
    <t>bug-22</t>
  </si>
  <si>
    <t>bug-23</t>
  </si>
  <si>
    <t>bug-24</t>
  </si>
  <si>
    <t>bug-25</t>
  </si>
  <si>
    <t>bug-26</t>
  </si>
  <si>
    <t>bug-27</t>
  </si>
  <si>
    <t>bug-28</t>
  </si>
  <si>
    <t>bug-29</t>
  </si>
  <si>
    <t>bug-30</t>
  </si>
  <si>
    <t>bug-31</t>
  </si>
  <si>
    <t>bug-32</t>
  </si>
  <si>
    <t>bug-33</t>
  </si>
  <si>
    <t>bug-34</t>
  </si>
  <si>
    <t>bug-35</t>
  </si>
  <si>
    <t>bug-36</t>
  </si>
  <si>
    <t>bug-37</t>
  </si>
  <si>
    <t>bug-38</t>
  </si>
  <si>
    <t>bug-39</t>
  </si>
  <si>
    <t>bug-40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</si>
</sst>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5.0"/>
      <color rgb="FF1E2A3A"/>
      <name val="Arial"/>
    </font>
    <font>
      <i/>
      <sz val="11.0"/>
      <color rgb="FF595959"/>
      <name val="Arial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1E2A3A"/>
      <name val="Arial"/>
    </font>
    <font>
      <i/>
      <sz val="11.0"/>
      <color rgb="FF1E2A3A"/>
      <name val="Arial"/>
    </font>
    <font>
      <sz val="11.0"/>
      <color rgb="FF5F6368"/>
      <name val="Arial"/>
    </font>
    <font>
      <b/>
      <sz val="11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E2A3A"/>
        <bgColor rgb="FF1E2A3A"/>
      </patternFill>
    </fill>
    <fill>
      <patternFill patternType="solid">
        <fgColor rgb="FFEEF2F1"/>
        <bgColor rgb="FFEEF2F1"/>
      </patternFill>
    </fill>
    <fill>
      <patternFill patternType="solid">
        <fgColor rgb="FFFFF7E0"/>
        <bgColor rgb="FFFFF7E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0" fillId="0" fontId="6" numFmtId="0" xfId="0" applyAlignment="1" applyFont="1">
      <alignment shrinkToFit="0" vertical="top" wrapText="0"/>
    </xf>
    <xf borderId="0" fillId="0" fontId="4" numFmtId="0" xfId="0" applyAlignment="1" applyFont="1">
      <alignment shrinkToFit="0" vertical="top" wrapText="1"/>
    </xf>
    <xf borderId="1" fillId="0" fontId="5" numFmtId="0" xfId="0" applyAlignment="1" applyBorder="1" applyFont="1">
      <alignment horizontal="left" shrinkToFit="0" vertical="bottom" wrapText="0"/>
    </xf>
    <xf borderId="0" fillId="0" fontId="7" numFmtId="0" xfId="0" applyAlignment="1" applyFont="1">
      <alignment shrinkToFit="0" vertical="bottom" wrapText="0"/>
    </xf>
    <xf borderId="1" fillId="3" fontId="2" numFmtId="0" xfId="0" applyAlignment="1" applyBorder="1" applyFill="1" applyFont="1">
      <alignment shrinkToFit="0" vertical="top" wrapText="1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center" shrinkToFit="0" vertical="bottom" wrapText="0"/>
    </xf>
    <xf borderId="1" fillId="4" fontId="4" numFmtId="0" xfId="0" applyAlignment="1" applyBorder="1" applyFill="1" applyFont="1">
      <alignment horizontal="left" readingOrder="0" shrinkToFit="0" vertical="top" wrapText="1"/>
    </xf>
    <xf borderId="0" fillId="5" fontId="8" numFmtId="0" xfId="0" applyAlignment="1" applyFill="1" applyFont="1">
      <alignment readingOrder="0"/>
    </xf>
    <xf borderId="1" fillId="0" fontId="4" numFmtId="0" xfId="0" applyAlignment="1" applyBorder="1" applyFont="1">
      <alignment horizontal="center" readingOrder="0" shrinkToFit="0" vertical="bottom" wrapText="0"/>
    </xf>
    <xf borderId="1" fillId="4" fontId="4" numFmtId="0" xfId="0" applyAlignment="1" applyBorder="1" applyFill="1" applyFont="1">
      <alignment horizontal="center" readingOrder="0" shrinkToFit="0" vertical="top" wrapText="1"/>
    </xf>
    <xf borderId="1" fillId="4" fontId="4" numFmtId="0" xfId="0" applyAlignment="1" applyBorder="1" applyFill="1" applyFont="1">
      <alignment horizontal="left" shrinkToFit="0" vertical="top" wrapText="1"/>
    </xf>
    <xf borderId="1" fillId="4" fontId="4" numFmtId="0" xfId="0" applyAlignment="1" applyBorder="1" applyFill="1" applyFont="1">
      <alignment horizontal="center" shrinkToFit="0" vertical="top" wrapText="1"/>
    </xf>
    <xf borderId="1" fillId="0" fontId="5" numFmtId="0" xfId="0" applyAlignment="1" applyBorder="1" applyFont="1">
      <alignment horizontal="center" shrinkToFit="0" vertical="bottom" wrapText="0"/>
    </xf>
    <xf borderId="1" fillId="0" fontId="9" numFmtId="0" xfId="0" applyAlignment="1" applyBorder="1" applyFont="1">
      <alignment horizontal="center" shrinkToFit="0" vertical="bottom" wrapText="0"/>
    </xf>
    <xf borderId="1" fillId="0" fontId="5" numFmtId="9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8D7DA"/>
          <bgColor rgb="FFF8D7DA"/>
        </patternFill>
      </fill>
      <border/>
    </dxf>
    <dxf>
      <font/>
      <fill>
        <patternFill patternType="solid">
          <fgColor rgb="FFD4EDDA"/>
          <bgColor rgb="FFD4EDD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127.43"/>
    <col customWidth="1" min="3" max="26" width="8.71"/>
  </cols>
  <sheetData>
    <row r="1">
      <c r="A1" s="1" t="s">
        <v>4</v>
      </c>
    </row>
    <row r="2">
      <c r="A2" s="2" t="s">
        <v>15</v>
      </c>
    </row>
    <row r="4">
      <c r="A4" s="6" t="s">
        <v>18</v>
      </c>
      <c r="B4" s="7" t="s">
        <v>23</v>
      </c>
    </row>
    <row r="5">
      <c r="A5" s="6" t="s">
        <v>27</v>
      </c>
      <c r="B5" s="7" t="s">
        <v>30</v>
      </c>
    </row>
    <row r="6">
      <c r="A6" s="6" t="s">
        <v>34</v>
      </c>
      <c r="B6" s="7" t="s">
        <v>36</v>
      </c>
    </row>
    <row r="7">
      <c r="A7" s="6" t="s">
        <v>37</v>
      </c>
      <c r="B7" s="7" t="s">
        <v>38</v>
      </c>
    </row>
    <row r="8">
      <c r="A8" s="6" t="s">
        <v>41</v>
      </c>
      <c r="B8" s="7" t="s">
        <v>43</v>
      </c>
    </row>
    <row r="9">
      <c r="A9" s="6" t="s">
        <v>24</v>
      </c>
      <c r="B9" s="7" t="s">
        <v>46</v>
      </c>
    </row>
    <row r="10">
      <c r="A10" s="6" t="s">
        <v>49</v>
      </c>
      <c r="B10" s="7" t="s">
        <v>53</v>
      </c>
    </row>
    <row r="11">
      <c r="A11" s="6" t="s">
        <v>54</v>
      </c>
      <c r="B11" s="7" t="s">
        <v>56</v>
      </c>
    </row>
    <row r="12">
      <c r="A12" s="6" t="s">
        <v>31</v>
      </c>
      <c r="B12" s="7" t="s">
        <v>61</v>
      </c>
    </row>
    <row r="13">
      <c r="A13" s="6" t="s">
        <v>48</v>
      </c>
      <c r="B13" s="7" t="s">
        <v>62</v>
      </c>
    </row>
    <row r="14">
      <c r="A14" s="6" t="s">
        <v>64</v>
      </c>
      <c r="B14" s="7" t="s">
        <v>65</v>
      </c>
    </row>
    <row r="15">
      <c r="A15" s="6" t="s">
        <v>66</v>
      </c>
      <c r="B15" s="7" t="s">
        <v>67</v>
      </c>
    </row>
    <row r="16">
      <c r="A16" s="6" t="s">
        <v>68</v>
      </c>
      <c r="B16" s="7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6.0"/>
    <col customWidth="1" min="3" max="26" width="8.71"/>
  </cols>
  <sheetData>
    <row r="1">
      <c r="A1" s="1" t="s">
        <v>2</v>
      </c>
    </row>
    <row r="2">
      <c r="A2" s="2" t="s">
        <v>5</v>
      </c>
    </row>
    <row r="4" ht="33.75" customHeight="1">
      <c r="A4" s="3"/>
      <c r="B4" s="3" t="s">
        <v>19</v>
      </c>
    </row>
    <row r="5">
      <c r="A5" s="8" t="s">
        <v>25</v>
      </c>
      <c r="B5" s="15">
        <f>COUNTA('AcademyBugs log'!D6:D45)</f>
        <v>10</v>
      </c>
    </row>
    <row r="6">
      <c r="A6" s="8" t="s">
        <v>97</v>
      </c>
      <c r="B6" s="18"/>
    </row>
    <row r="7">
      <c r="A7" s="8" t="s">
        <v>101</v>
      </c>
      <c r="B7" s="15">
        <f>COUNTIF('AcademyBugs log'!I6:I45,"Fail")</f>
        <v>10</v>
      </c>
    </row>
    <row r="8">
      <c r="A8" s="8" t="s">
        <v>14</v>
      </c>
      <c r="B8" s="15">
        <f>COUNTIFS('AcademyBugs log'!I6:I45,"Fail",'AcademyBugs log'!J6:J45,"Critical")</f>
        <v>1</v>
      </c>
    </row>
    <row r="9">
      <c r="A9" s="8" t="s">
        <v>40</v>
      </c>
      <c r="B9" s="15">
        <f>COUNTIFS('AcademyBugs log'!I6:I45,"Fail",'AcademyBugs log'!J6:J45,"High")</f>
        <v>1</v>
      </c>
    </row>
    <row r="10">
      <c r="A10" s="8" t="s">
        <v>47</v>
      </c>
      <c r="B10" s="15">
        <f>COUNTIFS('AcademyBugs log'!I6:I45,"Fail",'AcademyBugs log'!J6:J45,"Medium")</f>
        <v>4</v>
      </c>
    </row>
    <row r="11">
      <c r="A11" s="8" t="s">
        <v>57</v>
      </c>
      <c r="B11" s="15">
        <f>COUNTIFS('AcademyBugs log'!I6:I45,"Fail",'AcademyBugs log'!J6:J45,"Low")</f>
        <v>4</v>
      </c>
    </row>
    <row r="13">
      <c r="A13" s="8" t="s">
        <v>140</v>
      </c>
      <c r="B13" s="22">
        <f>COUNTIF('AcademyBugs log'!M6:M45,"Yes")</f>
        <v>0</v>
      </c>
      <c r="C13" s="15" t="s">
        <v>147</v>
      </c>
      <c r="D13" s="23">
        <v>25.0</v>
      </c>
    </row>
    <row r="14">
      <c r="A14" s="8" t="s">
        <v>151</v>
      </c>
      <c r="B14" s="24">
        <f>IFERROR(B13/D13,0)</f>
        <v>0</v>
      </c>
      <c r="C14" s="15"/>
      <c r="D14" s="15"/>
    </row>
    <row r="15">
      <c r="A15" s="8" t="s">
        <v>155</v>
      </c>
      <c r="B15" s="22">
        <f>B7-SUM(B8:B11)</f>
        <v>0</v>
      </c>
      <c r="C15" s="15"/>
      <c r="D15" s="15"/>
    </row>
    <row r="16">
      <c r="A16" s="2" t="s">
        <v>157</v>
      </c>
    </row>
    <row r="17">
      <c r="A17" s="2" t="s">
        <v>158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58.0"/>
    <col customWidth="1" min="3" max="3" width="12.0"/>
    <col customWidth="1" min="4" max="4" width="14.0"/>
    <col customWidth="1" min="5" max="5" width="40.0"/>
    <col customWidth="1" min="6" max="26" width="8.71"/>
  </cols>
  <sheetData>
    <row r="1">
      <c r="A1" s="1" t="s">
        <v>1</v>
      </c>
    </row>
    <row r="2">
      <c r="A2" s="2" t="s">
        <v>7</v>
      </c>
    </row>
    <row r="4" ht="33.75" customHeight="1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</row>
    <row r="5">
      <c r="A5" s="4">
        <v>1.0</v>
      </c>
      <c r="B5" s="4" t="s">
        <v>13</v>
      </c>
      <c r="C5" s="5" t="s">
        <v>14</v>
      </c>
      <c r="D5" s="4" t="s">
        <v>26</v>
      </c>
      <c r="E5" s="4" t="s">
        <v>32</v>
      </c>
    </row>
    <row r="6">
      <c r="A6" s="4">
        <v>2.0</v>
      </c>
      <c r="B6" s="4" t="s">
        <v>39</v>
      </c>
      <c r="C6" s="5" t="s">
        <v>40</v>
      </c>
      <c r="D6" s="4" t="s">
        <v>42</v>
      </c>
      <c r="E6" s="4" t="s">
        <v>44</v>
      </c>
    </row>
    <row r="7">
      <c r="A7" s="4">
        <v>3.0</v>
      </c>
      <c r="B7" s="4" t="s">
        <v>45</v>
      </c>
      <c r="C7" s="5" t="s">
        <v>47</v>
      </c>
      <c r="D7" s="4" t="s">
        <v>50</v>
      </c>
      <c r="E7" s="4" t="s">
        <v>52</v>
      </c>
    </row>
    <row r="8">
      <c r="A8" s="4">
        <v>4.0</v>
      </c>
      <c r="B8" s="4" t="s">
        <v>55</v>
      </c>
      <c r="C8" s="5" t="s">
        <v>57</v>
      </c>
      <c r="D8" s="4" t="s">
        <v>58</v>
      </c>
      <c r="E8" s="4" t="s">
        <v>59</v>
      </c>
    </row>
    <row r="10">
      <c r="A10" s="9" t="s">
        <v>63</v>
      </c>
    </row>
    <row r="12">
      <c r="A12" s="11" t="s">
        <v>70</v>
      </c>
    </row>
    <row r="13">
      <c r="A13" s="12" t="s">
        <v>72</v>
      </c>
      <c r="B13" s="13" t="s">
        <v>77</v>
      </c>
    </row>
    <row r="14">
      <c r="A14" s="12" t="s">
        <v>80</v>
      </c>
      <c r="B14" s="13" t="s">
        <v>82</v>
      </c>
    </row>
    <row r="15">
      <c r="A15" s="12" t="s">
        <v>84</v>
      </c>
      <c r="B15" s="13" t="s">
        <v>86</v>
      </c>
    </row>
    <row r="16">
      <c r="A16" s="12" t="s">
        <v>87</v>
      </c>
      <c r="B16" s="13" t="s">
        <v>88</v>
      </c>
    </row>
    <row r="17">
      <c r="A17" s="12" t="s">
        <v>90</v>
      </c>
      <c r="B17" s="13" t="s">
        <v>91</v>
      </c>
    </row>
    <row r="18">
      <c r="A18" s="12" t="s">
        <v>92</v>
      </c>
      <c r="B18" s="13" t="s">
        <v>93</v>
      </c>
    </row>
    <row r="19">
      <c r="A19" s="12" t="s">
        <v>94</v>
      </c>
      <c r="B19" s="13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7.0"/>
    <col customWidth="1" min="2" max="2" width="20.0"/>
    <col customWidth="1" min="3" max="3" width="16.0"/>
    <col customWidth="1" min="4" max="4" width="40.0"/>
    <col customWidth="1" min="5" max="5" width="28.0"/>
    <col customWidth="1" min="6" max="6" width="32.0"/>
    <col customWidth="1" min="7" max="7" width="18.0"/>
    <col customWidth="1" min="8" max="8" width="13.0"/>
    <col customWidth="1" min="9" max="10" width="11.0"/>
    <col customWidth="1" min="11" max="11" width="30.0"/>
    <col customWidth="1" min="12" max="12" width="26.0"/>
    <col customWidth="1" min="13" max="13" width="13.0"/>
    <col customWidth="1" min="14" max="14" width="28.0"/>
    <col customWidth="1" min="15" max="26" width="8.71"/>
  </cols>
  <sheetData>
    <row r="1">
      <c r="A1" s="1" t="s">
        <v>0</v>
      </c>
    </row>
    <row r="2">
      <c r="A2" s="2" t="s">
        <v>3</v>
      </c>
    </row>
    <row r="4" ht="33.75" customHeight="1">
      <c r="A4" s="3" t="s">
        <v>6</v>
      </c>
      <c r="B4" s="3" t="s">
        <v>16</v>
      </c>
      <c r="C4" s="3" t="s">
        <v>17</v>
      </c>
      <c r="D4" s="3" t="s">
        <v>20</v>
      </c>
      <c r="E4" s="3" t="s">
        <v>21</v>
      </c>
      <c r="F4" s="3" t="s">
        <v>22</v>
      </c>
      <c r="G4" s="3" t="s">
        <v>24</v>
      </c>
      <c r="H4" s="3" t="s">
        <v>28</v>
      </c>
      <c r="I4" s="3" t="s">
        <v>29</v>
      </c>
      <c r="J4" s="3" t="s">
        <v>31</v>
      </c>
      <c r="K4" s="3" t="s">
        <v>33</v>
      </c>
      <c r="L4" s="3" t="s">
        <v>35</v>
      </c>
      <c r="M4" s="3" t="s">
        <v>48</v>
      </c>
      <c r="N4" s="3" t="s">
        <v>51</v>
      </c>
    </row>
    <row r="5">
      <c r="A5" s="10" t="s">
        <v>60</v>
      </c>
      <c r="B5" s="10" t="s">
        <v>71</v>
      </c>
      <c r="C5" s="10" t="s">
        <v>72</v>
      </c>
      <c r="D5" s="10" t="s">
        <v>73</v>
      </c>
      <c r="E5" s="10" t="s">
        <v>74</v>
      </c>
      <c r="F5" s="10" t="s">
        <v>75</v>
      </c>
      <c r="G5" s="10" t="s">
        <v>76</v>
      </c>
      <c r="H5" s="10" t="s">
        <v>78</v>
      </c>
      <c r="I5" s="10" t="s">
        <v>79</v>
      </c>
      <c r="J5" s="10" t="s">
        <v>14</v>
      </c>
      <c r="K5" s="10" t="s">
        <v>81</v>
      </c>
      <c r="L5" s="10" t="s">
        <v>83</v>
      </c>
      <c r="M5" s="10" t="s">
        <v>85</v>
      </c>
      <c r="N5" s="10"/>
    </row>
    <row r="6">
      <c r="A6" s="14" t="s">
        <v>89</v>
      </c>
      <c r="B6" s="16" t="s">
        <v>96</v>
      </c>
      <c r="C6" s="16" t="s">
        <v>72</v>
      </c>
      <c r="D6" s="17" t="s">
        <v>98</v>
      </c>
      <c r="E6" s="16" t="s">
        <v>99</v>
      </c>
      <c r="F6" s="16" t="s">
        <v>100</v>
      </c>
      <c r="G6" s="16" t="s">
        <v>76</v>
      </c>
      <c r="H6" s="19" t="s">
        <v>78</v>
      </c>
      <c r="I6" s="19" t="s">
        <v>79</v>
      </c>
      <c r="J6" s="19" t="s">
        <v>40</v>
      </c>
      <c r="K6" s="16" t="s">
        <v>102</v>
      </c>
      <c r="L6" s="20"/>
      <c r="M6" s="21"/>
      <c r="N6" s="20"/>
    </row>
    <row r="7">
      <c r="A7" s="14" t="s">
        <v>103</v>
      </c>
      <c r="B7" s="16" t="s">
        <v>96</v>
      </c>
      <c r="C7" s="16" t="s">
        <v>72</v>
      </c>
      <c r="D7" s="16" t="s">
        <v>98</v>
      </c>
      <c r="E7" s="16" t="s">
        <v>104</v>
      </c>
      <c r="F7" s="16" t="s">
        <v>105</v>
      </c>
      <c r="G7" s="16" t="s">
        <v>106</v>
      </c>
      <c r="H7" s="19" t="s">
        <v>78</v>
      </c>
      <c r="I7" s="19" t="s">
        <v>79</v>
      </c>
      <c r="J7" s="19" t="s">
        <v>14</v>
      </c>
      <c r="K7" s="16" t="s">
        <v>81</v>
      </c>
      <c r="L7" s="20"/>
      <c r="M7" s="21"/>
      <c r="N7" s="20"/>
    </row>
    <row r="8">
      <c r="A8" s="14" t="s">
        <v>107</v>
      </c>
      <c r="B8" s="16" t="s">
        <v>108</v>
      </c>
      <c r="C8" s="16" t="s">
        <v>72</v>
      </c>
      <c r="D8" s="16" t="s">
        <v>109</v>
      </c>
      <c r="E8" s="16" t="s">
        <v>110</v>
      </c>
      <c r="F8" s="16" t="s">
        <v>111</v>
      </c>
      <c r="G8" s="16" t="s">
        <v>106</v>
      </c>
      <c r="H8" s="19" t="s">
        <v>78</v>
      </c>
      <c r="I8" s="19" t="s">
        <v>79</v>
      </c>
      <c r="J8" s="19" t="s">
        <v>47</v>
      </c>
      <c r="K8" s="16" t="s">
        <v>112</v>
      </c>
      <c r="L8" s="20"/>
      <c r="M8" s="21"/>
      <c r="N8" s="20"/>
    </row>
    <row r="9">
      <c r="A9" s="14" t="s">
        <v>113</v>
      </c>
      <c r="B9" s="16" t="s">
        <v>108</v>
      </c>
      <c r="C9" s="16" t="s">
        <v>72</v>
      </c>
      <c r="D9" s="16" t="s">
        <v>114</v>
      </c>
      <c r="E9" s="16" t="s">
        <v>115</v>
      </c>
      <c r="F9" s="16" t="s">
        <v>116</v>
      </c>
      <c r="G9" s="16" t="s">
        <v>106</v>
      </c>
      <c r="H9" s="19" t="s">
        <v>78</v>
      </c>
      <c r="I9" s="19" t="s">
        <v>79</v>
      </c>
      <c r="J9" s="19" t="s">
        <v>47</v>
      </c>
      <c r="K9" s="16" t="s">
        <v>117</v>
      </c>
      <c r="L9" s="20"/>
      <c r="M9" s="21"/>
      <c r="N9" s="20"/>
    </row>
    <row r="10">
      <c r="A10" s="14" t="s">
        <v>118</v>
      </c>
      <c r="B10" s="16" t="s">
        <v>108</v>
      </c>
      <c r="C10" s="16" t="s">
        <v>72</v>
      </c>
      <c r="D10" s="16" t="s">
        <v>119</v>
      </c>
      <c r="E10" s="16" t="s">
        <v>120</v>
      </c>
      <c r="F10" s="16" t="s">
        <v>121</v>
      </c>
      <c r="G10" s="16" t="s">
        <v>106</v>
      </c>
      <c r="H10" s="19" t="s">
        <v>78</v>
      </c>
      <c r="I10" s="19" t="s">
        <v>79</v>
      </c>
      <c r="J10" s="19" t="s">
        <v>47</v>
      </c>
      <c r="K10" s="16" t="s">
        <v>122</v>
      </c>
      <c r="L10" s="20"/>
      <c r="M10" s="21"/>
      <c r="N10" s="20"/>
    </row>
    <row r="11">
      <c r="A11" s="14" t="s">
        <v>123</v>
      </c>
      <c r="B11" s="16" t="s">
        <v>124</v>
      </c>
      <c r="C11" s="16" t="s">
        <v>80</v>
      </c>
      <c r="D11" s="16" t="s">
        <v>125</v>
      </c>
      <c r="E11" s="16" t="s">
        <v>126</v>
      </c>
      <c r="F11" s="16" t="s">
        <v>127</v>
      </c>
      <c r="G11" s="16" t="s">
        <v>106</v>
      </c>
      <c r="H11" s="19" t="s">
        <v>78</v>
      </c>
      <c r="I11" s="19" t="s">
        <v>79</v>
      </c>
      <c r="J11" s="19" t="s">
        <v>47</v>
      </c>
      <c r="K11" s="16" t="s">
        <v>128</v>
      </c>
      <c r="L11" s="20"/>
      <c r="M11" s="21"/>
      <c r="N11" s="20"/>
    </row>
    <row r="12">
      <c r="A12" s="14" t="s">
        <v>129</v>
      </c>
      <c r="B12" s="16" t="s">
        <v>130</v>
      </c>
      <c r="C12" s="16" t="s">
        <v>80</v>
      </c>
      <c r="D12" s="16" t="s">
        <v>131</v>
      </c>
      <c r="E12" s="16" t="s">
        <v>132</v>
      </c>
      <c r="F12" s="16" t="s">
        <v>133</v>
      </c>
      <c r="G12" s="16" t="s">
        <v>106</v>
      </c>
      <c r="H12" s="19" t="s">
        <v>78</v>
      </c>
      <c r="I12" s="19" t="s">
        <v>79</v>
      </c>
      <c r="J12" s="19" t="s">
        <v>57</v>
      </c>
      <c r="K12" s="16" t="s">
        <v>134</v>
      </c>
      <c r="L12" s="20"/>
      <c r="M12" s="21"/>
      <c r="N12" s="20"/>
    </row>
    <row r="13">
      <c r="A13" s="14" t="s">
        <v>135</v>
      </c>
      <c r="B13" s="16" t="s">
        <v>124</v>
      </c>
      <c r="C13" s="16" t="s">
        <v>80</v>
      </c>
      <c r="D13" s="16" t="s">
        <v>136</v>
      </c>
      <c r="E13" s="16" t="s">
        <v>137</v>
      </c>
      <c r="F13" s="16" t="s">
        <v>138</v>
      </c>
      <c r="G13" s="16" t="s">
        <v>106</v>
      </c>
      <c r="H13" s="19" t="s">
        <v>78</v>
      </c>
      <c r="I13" s="19" t="s">
        <v>79</v>
      </c>
      <c r="J13" s="19" t="s">
        <v>57</v>
      </c>
      <c r="K13" s="16" t="s">
        <v>139</v>
      </c>
      <c r="L13" s="20"/>
      <c r="M13" s="21"/>
      <c r="N13" s="20"/>
    </row>
    <row r="14">
      <c r="A14" s="14" t="s">
        <v>141</v>
      </c>
      <c r="B14" s="16" t="s">
        <v>130</v>
      </c>
      <c r="C14" s="16" t="s">
        <v>80</v>
      </c>
      <c r="D14" s="16" t="s">
        <v>142</v>
      </c>
      <c r="E14" s="16" t="s">
        <v>143</v>
      </c>
      <c r="F14" s="16" t="s">
        <v>144</v>
      </c>
      <c r="G14" s="16" t="s">
        <v>106</v>
      </c>
      <c r="H14" s="19" t="s">
        <v>78</v>
      </c>
      <c r="I14" s="19" t="s">
        <v>79</v>
      </c>
      <c r="J14" s="19" t="s">
        <v>57</v>
      </c>
      <c r="K14" s="16" t="s">
        <v>145</v>
      </c>
      <c r="L14" s="20"/>
      <c r="M14" s="21"/>
      <c r="N14" s="20"/>
    </row>
    <row r="15">
      <c r="A15" s="14" t="s">
        <v>146</v>
      </c>
      <c r="B15" s="16" t="s">
        <v>130</v>
      </c>
      <c r="C15" s="16" t="s">
        <v>80</v>
      </c>
      <c r="D15" s="16" t="s">
        <v>148</v>
      </c>
      <c r="E15" s="16" t="s">
        <v>149</v>
      </c>
      <c r="F15" s="16" t="s">
        <v>150</v>
      </c>
      <c r="G15" s="20"/>
      <c r="H15" s="19" t="s">
        <v>78</v>
      </c>
      <c r="I15" s="19" t="s">
        <v>79</v>
      </c>
      <c r="J15" s="19" t="s">
        <v>57</v>
      </c>
      <c r="K15" s="16" t="s">
        <v>152</v>
      </c>
      <c r="L15" s="20"/>
      <c r="M15" s="21"/>
      <c r="N15" s="20"/>
    </row>
    <row r="16">
      <c r="A16" s="14" t="s">
        <v>153</v>
      </c>
      <c r="B16" s="20"/>
      <c r="C16" s="20"/>
      <c r="D16" s="20"/>
      <c r="E16" s="20"/>
      <c r="F16" s="20"/>
      <c r="G16" s="20"/>
      <c r="H16" s="21"/>
      <c r="I16" s="21"/>
      <c r="J16" s="21"/>
      <c r="K16" s="20"/>
      <c r="L16" s="20"/>
      <c r="M16" s="21"/>
      <c r="N16" s="20"/>
    </row>
    <row r="17">
      <c r="A17" s="14" t="s">
        <v>154</v>
      </c>
      <c r="B17" s="20"/>
      <c r="C17" s="20"/>
      <c r="D17" s="20"/>
      <c r="E17" s="20"/>
      <c r="F17" s="20"/>
      <c r="G17" s="20"/>
      <c r="H17" s="21"/>
      <c r="I17" s="21"/>
      <c r="J17" s="21"/>
      <c r="K17" s="20"/>
      <c r="L17" s="20"/>
      <c r="M17" s="21"/>
      <c r="N17" s="20"/>
    </row>
    <row r="18">
      <c r="A18" s="14" t="s">
        <v>156</v>
      </c>
      <c r="B18" s="20"/>
      <c r="C18" s="20"/>
      <c r="D18" s="20"/>
      <c r="E18" s="20"/>
      <c r="F18" s="20"/>
      <c r="G18" s="20"/>
      <c r="H18" s="21"/>
      <c r="I18" s="21"/>
      <c r="J18" s="21"/>
      <c r="K18" s="20"/>
      <c r="L18" s="20"/>
      <c r="M18" s="21"/>
      <c r="N18" s="20"/>
    </row>
    <row r="19">
      <c r="A19" s="14" t="s">
        <v>159</v>
      </c>
      <c r="B19" s="20"/>
      <c r="C19" s="20"/>
      <c r="D19" s="20"/>
      <c r="E19" s="20"/>
      <c r="F19" s="20"/>
      <c r="G19" s="20"/>
      <c r="H19" s="21"/>
      <c r="I19" s="21"/>
      <c r="J19" s="21"/>
      <c r="K19" s="20"/>
      <c r="L19" s="20"/>
      <c r="M19" s="21"/>
      <c r="N19" s="20"/>
    </row>
    <row r="20">
      <c r="A20" s="14" t="s">
        <v>160</v>
      </c>
      <c r="B20" s="20"/>
      <c r="C20" s="20"/>
      <c r="D20" s="20"/>
      <c r="E20" s="20"/>
      <c r="F20" s="20"/>
      <c r="G20" s="20"/>
      <c r="H20" s="21"/>
      <c r="I20" s="21"/>
      <c r="J20" s="21"/>
      <c r="K20" s="20"/>
      <c r="L20" s="20"/>
      <c r="M20" s="21"/>
      <c r="N20" s="20"/>
    </row>
    <row r="21" ht="15.75" customHeight="1">
      <c r="A21" s="14" t="s">
        <v>161</v>
      </c>
      <c r="B21" s="20"/>
      <c r="C21" s="20"/>
      <c r="D21" s="20"/>
      <c r="E21" s="20"/>
      <c r="F21" s="20"/>
      <c r="G21" s="20"/>
      <c r="H21" s="21"/>
      <c r="I21" s="21"/>
      <c r="J21" s="21"/>
      <c r="K21" s="20"/>
      <c r="L21" s="20"/>
      <c r="M21" s="21"/>
      <c r="N21" s="20"/>
    </row>
    <row r="22" ht="15.75" customHeight="1">
      <c r="A22" s="14" t="s">
        <v>162</v>
      </c>
      <c r="B22" s="20"/>
      <c r="C22" s="20"/>
      <c r="D22" s="20"/>
      <c r="E22" s="20"/>
      <c r="F22" s="20"/>
      <c r="G22" s="20"/>
      <c r="H22" s="21"/>
      <c r="I22" s="21"/>
      <c r="J22" s="21"/>
      <c r="K22" s="20"/>
      <c r="L22" s="20"/>
      <c r="M22" s="21"/>
      <c r="N22" s="20"/>
    </row>
    <row r="23" ht="15.75" customHeight="1">
      <c r="A23" s="14" t="s">
        <v>163</v>
      </c>
      <c r="B23" s="20"/>
      <c r="C23" s="20"/>
      <c r="D23" s="20"/>
      <c r="E23" s="20"/>
      <c r="F23" s="20"/>
      <c r="G23" s="20"/>
      <c r="H23" s="21"/>
      <c r="I23" s="21"/>
      <c r="J23" s="21"/>
      <c r="K23" s="20"/>
      <c r="L23" s="20"/>
      <c r="M23" s="21"/>
      <c r="N23" s="20"/>
    </row>
    <row r="24" ht="15.75" customHeight="1">
      <c r="A24" s="14" t="s">
        <v>164</v>
      </c>
      <c r="B24" s="20"/>
      <c r="C24" s="20"/>
      <c r="D24" s="20"/>
      <c r="E24" s="20"/>
      <c r="F24" s="20"/>
      <c r="G24" s="20"/>
      <c r="H24" s="21"/>
      <c r="I24" s="21"/>
      <c r="J24" s="21"/>
      <c r="K24" s="20"/>
      <c r="L24" s="20"/>
      <c r="M24" s="21"/>
      <c r="N24" s="20"/>
    </row>
    <row r="25" ht="15.75" customHeight="1">
      <c r="A25" s="14" t="s">
        <v>165</v>
      </c>
      <c r="B25" s="20"/>
      <c r="C25" s="20"/>
      <c r="D25" s="20"/>
      <c r="E25" s="20"/>
      <c r="F25" s="20"/>
      <c r="G25" s="20"/>
      <c r="H25" s="21"/>
      <c r="I25" s="21"/>
      <c r="J25" s="21"/>
      <c r="K25" s="20"/>
      <c r="L25" s="20"/>
      <c r="M25" s="21"/>
      <c r="N25" s="20"/>
    </row>
    <row r="26" ht="15.75" customHeight="1">
      <c r="A26" s="14" t="s">
        <v>166</v>
      </c>
      <c r="B26" s="20"/>
      <c r="C26" s="20"/>
      <c r="D26" s="20"/>
      <c r="E26" s="20"/>
      <c r="F26" s="20"/>
      <c r="G26" s="20"/>
      <c r="H26" s="21"/>
      <c r="I26" s="21"/>
      <c r="J26" s="21"/>
      <c r="K26" s="20"/>
      <c r="L26" s="20"/>
      <c r="M26" s="21"/>
      <c r="N26" s="20"/>
    </row>
    <row r="27" ht="15.75" customHeight="1">
      <c r="A27" s="14" t="s">
        <v>167</v>
      </c>
      <c r="B27" s="20"/>
      <c r="C27" s="20"/>
      <c r="D27" s="20"/>
      <c r="E27" s="20"/>
      <c r="F27" s="20"/>
      <c r="G27" s="20"/>
      <c r="H27" s="21"/>
      <c r="I27" s="21"/>
      <c r="J27" s="21"/>
      <c r="K27" s="20"/>
      <c r="L27" s="20"/>
      <c r="M27" s="21"/>
      <c r="N27" s="20"/>
    </row>
    <row r="28" ht="15.75" customHeight="1">
      <c r="A28" s="14" t="s">
        <v>168</v>
      </c>
      <c r="B28" s="20"/>
      <c r="C28" s="20"/>
      <c r="D28" s="20"/>
      <c r="E28" s="20"/>
      <c r="F28" s="20"/>
      <c r="G28" s="20"/>
      <c r="H28" s="21"/>
      <c r="I28" s="21"/>
      <c r="J28" s="21"/>
      <c r="K28" s="20"/>
      <c r="L28" s="20"/>
      <c r="M28" s="21"/>
      <c r="N28" s="20"/>
    </row>
    <row r="29" ht="15.75" customHeight="1">
      <c r="A29" s="14" t="s">
        <v>169</v>
      </c>
      <c r="B29" s="20"/>
      <c r="C29" s="20"/>
      <c r="D29" s="20"/>
      <c r="E29" s="20"/>
      <c r="F29" s="20"/>
      <c r="G29" s="20"/>
      <c r="H29" s="21"/>
      <c r="I29" s="21"/>
      <c r="J29" s="21"/>
      <c r="K29" s="20"/>
      <c r="L29" s="20"/>
      <c r="M29" s="21"/>
      <c r="N29" s="20"/>
    </row>
    <row r="30" ht="15.75" customHeight="1">
      <c r="A30" s="14" t="s">
        <v>170</v>
      </c>
      <c r="B30" s="20"/>
      <c r="C30" s="20"/>
      <c r="D30" s="20"/>
      <c r="E30" s="20"/>
      <c r="F30" s="20"/>
      <c r="G30" s="20"/>
      <c r="H30" s="21"/>
      <c r="I30" s="21"/>
      <c r="J30" s="21"/>
      <c r="K30" s="20"/>
      <c r="L30" s="20"/>
      <c r="M30" s="21"/>
      <c r="N30" s="20"/>
    </row>
    <row r="31" ht="15.75" customHeight="1">
      <c r="A31" s="14" t="s">
        <v>171</v>
      </c>
      <c r="B31" s="20"/>
      <c r="C31" s="20"/>
      <c r="D31" s="20"/>
      <c r="E31" s="20"/>
      <c r="F31" s="20"/>
      <c r="G31" s="20"/>
      <c r="H31" s="21"/>
      <c r="I31" s="21"/>
      <c r="J31" s="21"/>
      <c r="K31" s="20"/>
      <c r="L31" s="20"/>
      <c r="M31" s="21"/>
      <c r="N31" s="20"/>
    </row>
    <row r="32" ht="15.75" customHeight="1">
      <c r="A32" s="14" t="s">
        <v>172</v>
      </c>
      <c r="B32" s="20"/>
      <c r="C32" s="20"/>
      <c r="D32" s="20"/>
      <c r="E32" s="20"/>
      <c r="F32" s="20"/>
      <c r="G32" s="20"/>
      <c r="H32" s="21"/>
      <c r="I32" s="21"/>
      <c r="J32" s="21"/>
      <c r="K32" s="20"/>
      <c r="L32" s="20"/>
      <c r="M32" s="21"/>
      <c r="N32" s="20"/>
    </row>
    <row r="33" ht="15.75" customHeight="1">
      <c r="A33" s="14" t="s">
        <v>173</v>
      </c>
      <c r="B33" s="20"/>
      <c r="C33" s="20"/>
      <c r="D33" s="20"/>
      <c r="E33" s="20"/>
      <c r="F33" s="20"/>
      <c r="G33" s="20"/>
      <c r="H33" s="21"/>
      <c r="I33" s="21"/>
      <c r="J33" s="21"/>
      <c r="K33" s="20"/>
      <c r="L33" s="20"/>
      <c r="M33" s="21"/>
      <c r="N33" s="20"/>
    </row>
    <row r="34" ht="15.75" customHeight="1">
      <c r="A34" s="14" t="s">
        <v>174</v>
      </c>
      <c r="B34" s="20"/>
      <c r="C34" s="20"/>
      <c r="D34" s="20"/>
      <c r="E34" s="20"/>
      <c r="F34" s="20"/>
      <c r="G34" s="20"/>
      <c r="H34" s="21"/>
      <c r="I34" s="21"/>
      <c r="J34" s="21"/>
      <c r="K34" s="20"/>
      <c r="L34" s="20"/>
      <c r="M34" s="21"/>
      <c r="N34" s="20"/>
    </row>
    <row r="35" ht="15.75" customHeight="1">
      <c r="A35" s="14" t="s">
        <v>175</v>
      </c>
      <c r="B35" s="20"/>
      <c r="C35" s="20"/>
      <c r="D35" s="20"/>
      <c r="E35" s="20"/>
      <c r="F35" s="20"/>
      <c r="G35" s="20"/>
      <c r="H35" s="21"/>
      <c r="I35" s="21"/>
      <c r="J35" s="21"/>
      <c r="K35" s="20"/>
      <c r="L35" s="20"/>
      <c r="M35" s="21"/>
      <c r="N35" s="20"/>
    </row>
    <row r="36" ht="15.75" customHeight="1">
      <c r="A36" s="14" t="s">
        <v>176</v>
      </c>
      <c r="B36" s="20"/>
      <c r="C36" s="20"/>
      <c r="D36" s="20"/>
      <c r="E36" s="20"/>
      <c r="F36" s="20"/>
      <c r="G36" s="20"/>
      <c r="H36" s="21"/>
      <c r="I36" s="21"/>
      <c r="J36" s="21"/>
      <c r="K36" s="20"/>
      <c r="L36" s="20"/>
      <c r="M36" s="21"/>
      <c r="N36" s="20"/>
    </row>
    <row r="37" ht="15.75" customHeight="1">
      <c r="A37" s="14" t="s">
        <v>177</v>
      </c>
      <c r="B37" s="20"/>
      <c r="C37" s="20"/>
      <c r="D37" s="20"/>
      <c r="E37" s="20"/>
      <c r="F37" s="20"/>
      <c r="G37" s="20"/>
      <c r="H37" s="21"/>
      <c r="I37" s="21"/>
      <c r="J37" s="21"/>
      <c r="K37" s="20"/>
      <c r="L37" s="20"/>
      <c r="M37" s="21"/>
      <c r="N37" s="20"/>
    </row>
    <row r="38" ht="15.75" customHeight="1">
      <c r="A38" s="14" t="s">
        <v>178</v>
      </c>
      <c r="B38" s="20"/>
      <c r="C38" s="20"/>
      <c r="D38" s="20"/>
      <c r="E38" s="20"/>
      <c r="F38" s="20"/>
      <c r="G38" s="20"/>
      <c r="H38" s="21"/>
      <c r="I38" s="21"/>
      <c r="J38" s="21"/>
      <c r="K38" s="20"/>
      <c r="L38" s="20"/>
      <c r="M38" s="21"/>
      <c r="N38" s="20"/>
    </row>
    <row r="39" ht="15.75" customHeight="1">
      <c r="A39" s="14" t="s">
        <v>179</v>
      </c>
      <c r="B39" s="20"/>
      <c r="C39" s="20"/>
      <c r="D39" s="20"/>
      <c r="E39" s="20"/>
      <c r="F39" s="20"/>
      <c r="G39" s="20"/>
      <c r="H39" s="21"/>
      <c r="I39" s="21"/>
      <c r="J39" s="21"/>
      <c r="K39" s="20"/>
      <c r="L39" s="20"/>
      <c r="M39" s="21"/>
      <c r="N39" s="20"/>
    </row>
    <row r="40" ht="15.75" customHeight="1">
      <c r="A40" s="14" t="s">
        <v>180</v>
      </c>
      <c r="B40" s="20"/>
      <c r="C40" s="20"/>
      <c r="D40" s="20"/>
      <c r="E40" s="20"/>
      <c r="F40" s="20"/>
      <c r="G40" s="20"/>
      <c r="H40" s="21"/>
      <c r="I40" s="21"/>
      <c r="J40" s="21"/>
      <c r="K40" s="20"/>
      <c r="L40" s="20"/>
      <c r="M40" s="21"/>
      <c r="N40" s="20"/>
    </row>
    <row r="41" ht="15.75" customHeight="1">
      <c r="A41" s="14" t="s">
        <v>181</v>
      </c>
      <c r="B41" s="20"/>
      <c r="C41" s="20"/>
      <c r="D41" s="20"/>
      <c r="E41" s="20"/>
      <c r="F41" s="20"/>
      <c r="G41" s="20"/>
      <c r="H41" s="21"/>
      <c r="I41" s="21"/>
      <c r="J41" s="21"/>
      <c r="K41" s="20"/>
      <c r="L41" s="20"/>
      <c r="M41" s="21"/>
      <c r="N41" s="20"/>
    </row>
    <row r="42" ht="15.75" customHeight="1">
      <c r="A42" s="14" t="s">
        <v>182</v>
      </c>
      <c r="B42" s="20"/>
      <c r="C42" s="20"/>
      <c r="D42" s="20"/>
      <c r="E42" s="20"/>
      <c r="F42" s="20"/>
      <c r="G42" s="20"/>
      <c r="H42" s="21"/>
      <c r="I42" s="21"/>
      <c r="J42" s="21"/>
      <c r="K42" s="20"/>
      <c r="L42" s="20"/>
      <c r="M42" s="21"/>
      <c r="N42" s="20"/>
    </row>
    <row r="43" ht="15.75" customHeight="1">
      <c r="A43" s="14" t="s">
        <v>183</v>
      </c>
      <c r="B43" s="20"/>
      <c r="C43" s="20"/>
      <c r="D43" s="20"/>
      <c r="E43" s="20"/>
      <c r="F43" s="20"/>
      <c r="G43" s="20"/>
      <c r="H43" s="21"/>
      <c r="I43" s="21"/>
      <c r="J43" s="21"/>
      <c r="K43" s="20"/>
      <c r="L43" s="20"/>
      <c r="M43" s="21"/>
      <c r="N43" s="20"/>
    </row>
    <row r="44" ht="15.75" customHeight="1">
      <c r="A44" s="14" t="s">
        <v>184</v>
      </c>
      <c r="B44" s="20"/>
      <c r="C44" s="20"/>
      <c r="D44" s="20"/>
      <c r="E44" s="20"/>
      <c r="F44" s="20"/>
      <c r="G44" s="20"/>
      <c r="H44" s="21"/>
      <c r="I44" s="21"/>
      <c r="J44" s="21"/>
      <c r="K44" s="20"/>
      <c r="L44" s="20"/>
      <c r="M44" s="21"/>
      <c r="N44" s="20"/>
    </row>
    <row r="45" ht="15.75" customHeight="1">
      <c r="A45" s="14" t="s">
        <v>185</v>
      </c>
      <c r="B45" s="20"/>
      <c r="C45" s="20"/>
      <c r="D45" s="20"/>
      <c r="E45" s="20"/>
      <c r="F45" s="20"/>
      <c r="G45" s="20"/>
      <c r="H45" s="21"/>
      <c r="I45" s="21"/>
      <c r="J45" s="21"/>
      <c r="K45" s="20"/>
      <c r="L45" s="20"/>
      <c r="M45" s="21"/>
      <c r="N45" s="20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6:I45">
    <cfRule type="cellIs" dxfId="0" priority="1" operator="equal">
      <formula>"Fail"</formula>
    </cfRule>
  </conditionalFormatting>
  <conditionalFormatting sqref="I6:I45">
    <cfRule type="cellIs" dxfId="1" priority="2" operator="equal">
      <formula>"Pass"</formula>
    </cfRule>
  </conditionalFormatting>
  <dataValidations>
    <dataValidation type="list" allowBlank="1" showInputMessage="1" showErrorMessage="1" prompt="Pick from the list - Please choose an option from the dropdown arrow." sqref="B6:B45">
      <formula1>"Home page,Product list,Product page,Cart,Checkout,Login or sign up,Profile and settings,Forms and contact,Links and buttons,Other"</formula1>
    </dataValidation>
    <dataValidation type="list" allowBlank="1" showInputMessage="1" showErrorMessage="1" prompt="Pick from the list - Please choose an option from the dropdown arrow." sqref="H6:H45">
      <formula1>"Every time,Sometimes,Only once"</formula1>
    </dataValidation>
    <dataValidation type="list" allowBlank="1" showInputMessage="1" showErrorMessage="1" prompt="Pick from the list - Please choose an option from the dropdown arrow." sqref="M6:M45">
      <formula1>"Yes,No"</formula1>
    </dataValidation>
    <dataValidation type="list" allowBlank="1" showInputMessage="1" showErrorMessage="1" prompt="Pick from the list - Please choose an option from the dropdown arrow." sqref="C6:C45">
      <formula1>"Functional,Visual,Content,Performance,Crash or error page,Usability,Security"</formula1>
    </dataValidation>
    <dataValidation type="list" allowBlank="1" showInputMessage="1" showErrorMessage="1" prompt="Pick from the list - Please choose an option from the dropdown arrow." sqref="J6:J45">
      <formula1>"Critical,High,Medium,Low"</formula1>
    </dataValidation>
    <dataValidation type="list" allowBlank="1" showInputMessage="1" showErrorMessage="1" prompt="Pick from the list - Please choose an option from the dropdown arrow." sqref="I6:I45">
      <formula1>"Pass,Fail"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2026-10-15T11:47:10Z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